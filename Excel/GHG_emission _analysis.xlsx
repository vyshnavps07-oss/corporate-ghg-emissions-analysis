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HG_emission_analysis\data\"/>
    </mc:Choice>
  </mc:AlternateContent>
  <xr:revisionPtr revIDLastSave="0" documentId="8_{4EEC4809-9D0F-46C4-BDFC-889BB2909F29}" xr6:coauthVersionLast="47" xr6:coauthVersionMax="47" xr10:uidLastSave="{00000000-0000-0000-0000-000000000000}"/>
  <bookViews>
    <workbookView xWindow="11424" yWindow="0" windowWidth="11712" windowHeight="12336" xr2:uid="{EBF2A570-CE83-4ED0-AB75-C4FCFD4C42AA}"/>
  </bookViews>
  <sheets>
    <sheet name="corp_emissions" sheetId="1" r:id="rId1"/>
    <sheet name="Calculations" sheetId="2" r:id="rId2"/>
    <sheet name="Dashboard" sheetId="3" r:id="rId3"/>
  </sheets>
  <definedNames>
    <definedName name="_xlnm._FilterDatabase" localSheetId="0" hidden="1">corp_emissions!$A$1:$E$101</definedName>
  </definedNames>
  <calcPr calcId="0"/>
</workbook>
</file>

<file path=xl/calcChain.xml><?xml version="1.0" encoding="utf-8"?>
<calcChain xmlns="http://schemas.openxmlformats.org/spreadsheetml/2006/main">
  <c r="D5" i="3" l="1"/>
  <c r="D3" i="3"/>
  <c r="B5" i="3"/>
  <c r="B4" i="3"/>
  <c r="B3" i="3"/>
  <c r="B2" i="3"/>
  <c r="H3" i="2"/>
  <c r="H4" i="2"/>
  <c r="H5" i="2"/>
  <c r="H6" i="2"/>
  <c r="H7" i="2"/>
  <c r="H8" i="2"/>
  <c r="H9" i="2"/>
  <c r="H10" i="2"/>
  <c r="H11" i="2"/>
  <c r="H12" i="2"/>
  <c r="G3" i="2"/>
  <c r="G4" i="2"/>
  <c r="G5" i="2"/>
  <c r="G6" i="2"/>
  <c r="G7" i="2"/>
  <c r="G8" i="2"/>
  <c r="G9" i="2"/>
  <c r="G10" i="2"/>
  <c r="G11" i="2"/>
  <c r="G12" i="2"/>
  <c r="F3" i="2"/>
  <c r="F4" i="2"/>
  <c r="F5" i="2"/>
  <c r="F6" i="2"/>
  <c r="F7" i="2"/>
  <c r="F8" i="2"/>
  <c r="F9" i="2"/>
  <c r="F10" i="2"/>
  <c r="F11" i="2"/>
  <c r="F12" i="2"/>
  <c r="H2" i="2"/>
  <c r="G2" i="2"/>
  <c r="F2" i="2"/>
  <c r="E3" i="2"/>
  <c r="E4" i="2"/>
  <c r="E5" i="2"/>
  <c r="E6" i="2"/>
  <c r="E7" i="2"/>
  <c r="E8" i="2"/>
  <c r="E9" i="2"/>
  <c r="E10" i="2"/>
  <c r="E11" i="2"/>
  <c r="E12" i="2"/>
  <c r="E2" i="2"/>
</calcChain>
</file>

<file path=xl/sharedStrings.xml><?xml version="1.0" encoding="utf-8"?>
<sst xmlns="http://schemas.openxmlformats.org/spreadsheetml/2006/main" count="21" uniqueCount="17">
  <si>
    <t>Company_ID</t>
  </si>
  <si>
    <t>Year</t>
  </si>
  <si>
    <t>Scope1_tCO2e</t>
  </si>
  <si>
    <t>Scope2_tCO2e</t>
  </si>
  <si>
    <t>Scope3_tCO2e</t>
  </si>
  <si>
    <t>Total_Emissions</t>
  </si>
  <si>
    <t>Scope1_pct</t>
  </si>
  <si>
    <t>Scope2_pct</t>
  </si>
  <si>
    <t>Scope3_pct</t>
  </si>
  <si>
    <t>Scope</t>
  </si>
  <si>
    <t>Emissions (tCO₂e)</t>
  </si>
  <si>
    <t>Scope_1</t>
  </si>
  <si>
    <t>Scope_2</t>
  </si>
  <si>
    <t>Scope_3</t>
  </si>
  <si>
    <t>Total</t>
  </si>
  <si>
    <t>Total Emissions (tCO₂e)</t>
  </si>
  <si>
    <t>Average Scope 3 Share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</si>
</sst>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Scope-wise Emissions Contribution (%)</a:t>
            </a:r>
          </a:p>
        </c:rich>
      </c:tx>
      <c:layout>
        <c:manualLayout>
          <c:xMode val="edge"/>
          <c:yMode val="edge"/>
          <c:x val="0.186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9F-41EA-8859-52D3982742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Dashboard!$A$2:$A$4</c:f>
              <c:strCache>
                <c:ptCount val="3"/>
                <c:pt idx="0">
                  <c:v>Scope_1</c:v>
                </c:pt>
                <c:pt idx="1">
                  <c:v>Scope_2</c:v>
                </c:pt>
                <c:pt idx="2">
                  <c:v>Scope_3</c:v>
                </c:pt>
              </c:strCache>
            </c:strRef>
          </c:cat>
          <c:val>
            <c:numRef>
              <c:f>Dashboard!$B$2:$B$4</c:f>
              <c:numCache>
                <c:formatCode>General</c:formatCode>
                <c:ptCount val="3"/>
                <c:pt idx="0">
                  <c:v>64585419</c:v>
                </c:pt>
                <c:pt idx="1">
                  <c:v>857896772</c:v>
                </c:pt>
                <c:pt idx="2">
                  <c:v>1334596456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F-41EA-8859-52D398274255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Emissions by Scope (tCO₂e)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Dashboard!$A$2:$A$4</c:f>
              <c:strCache>
                <c:ptCount val="3"/>
                <c:pt idx="0">
                  <c:v>Scope_1</c:v>
                </c:pt>
                <c:pt idx="1">
                  <c:v>Scope_2</c:v>
                </c:pt>
                <c:pt idx="2">
                  <c:v>Scope_3</c:v>
                </c:pt>
              </c:strCache>
            </c:strRef>
          </c:cat>
          <c:val>
            <c:numRef>
              <c:f>Dashboard!$B$2:$B$4</c:f>
              <c:numCache>
                <c:formatCode>General</c:formatCode>
                <c:ptCount val="3"/>
                <c:pt idx="0">
                  <c:v>64585419</c:v>
                </c:pt>
                <c:pt idx="1">
                  <c:v>857896772</c:v>
                </c:pt>
                <c:pt idx="2">
                  <c:v>1334596456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B-47D6-A877-5142F0D61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8125280"/>
        <c:axId val="1032647968"/>
      </c:barChart>
      <c:catAx>
        <c:axId val="102812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47968"/>
        <c:crosses val="autoZero"/>
        <c:auto val="1"/>
        <c:lblAlgn val="ctr"/>
        <c:lblOffset val="100"/>
        <c:noMultiLvlLbl val="0"/>
      </c:catAx>
      <c:valAx>
        <c:axId val="103264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12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41745</xdr:colOff>
      <xdr:row>9</xdr:row>
      <xdr:rowOff>174432</xdr:rowOff>
    </xdr:from>
    <xdr:to>
      <xdr:col>18</xdr:col>
      <xdr:colOff>346545</xdr:colOff>
      <xdr:row>24</xdr:row>
      <xdr:rowOff>174433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7DBDD8-6714-1E59-9C58-28DB72EE9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58972</xdr:colOff>
      <xdr:row>26</xdr:row>
      <xdr:rowOff>129374</xdr:rowOff>
    </xdr:from>
    <xdr:to>
      <xdr:col>18</xdr:col>
      <xdr:colOff>501595</xdr:colOff>
      <xdr:row>41</xdr:row>
      <xdr:rowOff>129374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5AB086-D338-A3BB-680A-F0168E836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99AC-5526-454B-B57C-54CB3A9E9194}">
  <sheetPr filterMode="1"/>
  <dimension ref="A1:E101"/>
  <sheetViews>
    <sheetView tabSelected="1" workbookViewId="0">
      <selection activeCell="D110" sqref="D110"/>
    </sheetView>
  </sheetViews>
  <sheetFormatPr defaultRowHeight="14.4" x14ac:dyDescent="0.3"/>
  <cols>
    <col min="1" max="1" width="11.44140625" bestFit="1" customWidth="1"/>
    <col min="2" max="2" width="12.6640625" bestFit="1" customWidth="1"/>
    <col min="3" max="5" width="15.33203125" bestFit="1" customWidth="1"/>
    <col min="6" max="6" width="13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>
        <v>0</v>
      </c>
      <c r="B2">
        <v>2022</v>
      </c>
      <c r="C2">
        <v>831000</v>
      </c>
      <c r="D2">
        <v>276000</v>
      </c>
      <c r="E2">
        <v>23100000</v>
      </c>
    </row>
    <row r="3" spans="1:5" hidden="1" x14ac:dyDescent="0.3">
      <c r="A3">
        <v>1</v>
      </c>
      <c r="B3">
        <v>2022</v>
      </c>
      <c r="C3">
        <v>51412.28</v>
      </c>
      <c r="D3">
        <v>0</v>
      </c>
      <c r="E3">
        <v>0</v>
      </c>
    </row>
    <row r="4" spans="1:5" hidden="1" x14ac:dyDescent="0.3">
      <c r="A4">
        <v>2</v>
      </c>
      <c r="B4">
        <v>2022</v>
      </c>
      <c r="C4">
        <v>5077</v>
      </c>
      <c r="D4">
        <v>3694</v>
      </c>
      <c r="E4">
        <v>144320</v>
      </c>
    </row>
    <row r="5" spans="1:5" hidden="1" x14ac:dyDescent="0.3">
      <c r="A5">
        <v>3</v>
      </c>
      <c r="B5">
        <v>2022</v>
      </c>
      <c r="C5">
        <v>43</v>
      </c>
      <c r="D5">
        <v>59</v>
      </c>
      <c r="E5">
        <v>15271</v>
      </c>
    </row>
    <row r="6" spans="1:5" x14ac:dyDescent="0.3">
      <c r="A6">
        <v>4</v>
      </c>
      <c r="B6">
        <v>2023</v>
      </c>
      <c r="C6">
        <v>406000</v>
      </c>
      <c r="D6">
        <v>1433000</v>
      </c>
      <c r="E6">
        <v>127371000</v>
      </c>
    </row>
    <row r="7" spans="1:5" hidden="1" x14ac:dyDescent="0.3">
      <c r="A7">
        <v>5</v>
      </c>
      <c r="B7">
        <v>2021</v>
      </c>
      <c r="C7">
        <v>6800000</v>
      </c>
      <c r="D7">
        <v>376000</v>
      </c>
      <c r="E7">
        <v>66200000</v>
      </c>
    </row>
    <row r="8" spans="1:5" hidden="1" x14ac:dyDescent="0.3">
      <c r="A8">
        <v>6</v>
      </c>
      <c r="B8">
        <v>2021</v>
      </c>
      <c r="C8">
        <v>231</v>
      </c>
      <c r="D8">
        <v>2212</v>
      </c>
      <c r="E8">
        <v>15792</v>
      </c>
    </row>
    <row r="9" spans="1:5" hidden="1" x14ac:dyDescent="0.3">
      <c r="A9">
        <v>7</v>
      </c>
      <c r="B9">
        <v>2022</v>
      </c>
      <c r="C9">
        <v>17300</v>
      </c>
      <c r="D9">
        <v>20800</v>
      </c>
      <c r="E9">
        <v>11900000</v>
      </c>
    </row>
    <row r="10" spans="1:5" hidden="1" x14ac:dyDescent="0.3">
      <c r="A10">
        <v>8</v>
      </c>
      <c r="B10">
        <v>2022</v>
      </c>
      <c r="C10">
        <v>37000000</v>
      </c>
      <c r="D10">
        <v>2000000</v>
      </c>
      <c r="E10">
        <v>0</v>
      </c>
    </row>
    <row r="11" spans="1:5" hidden="1" x14ac:dyDescent="0.3">
      <c r="A11">
        <v>9</v>
      </c>
      <c r="B11">
        <v>2021</v>
      </c>
      <c r="C11">
        <v>6177</v>
      </c>
      <c r="D11">
        <v>24214</v>
      </c>
      <c r="E11">
        <v>442215</v>
      </c>
    </row>
    <row r="12" spans="1:5" hidden="1" x14ac:dyDescent="0.3">
      <c r="A12">
        <v>10</v>
      </c>
      <c r="B12">
        <v>2022</v>
      </c>
      <c r="C12">
        <v>202290</v>
      </c>
      <c r="D12">
        <v>161907</v>
      </c>
      <c r="E12">
        <v>1696100</v>
      </c>
    </row>
    <row r="13" spans="1:5" hidden="1" x14ac:dyDescent="0.3">
      <c r="A13">
        <v>11</v>
      </c>
      <c r="B13">
        <v>2022</v>
      </c>
      <c r="C13">
        <v>1500000</v>
      </c>
      <c r="D13">
        <v>1900000</v>
      </c>
      <c r="E13">
        <v>447200000</v>
      </c>
    </row>
    <row r="14" spans="1:5" hidden="1" x14ac:dyDescent="0.3">
      <c r="A14">
        <v>12</v>
      </c>
      <c r="B14">
        <v>2022</v>
      </c>
      <c r="C14">
        <v>33700000</v>
      </c>
      <c r="D14">
        <v>6700000</v>
      </c>
      <c r="E14">
        <v>0</v>
      </c>
    </row>
    <row r="15" spans="1:5" x14ac:dyDescent="0.3">
      <c r="A15">
        <v>13</v>
      </c>
      <c r="B15">
        <v>2023</v>
      </c>
      <c r="C15">
        <v>1216</v>
      </c>
      <c r="D15">
        <v>19079</v>
      </c>
      <c r="E15">
        <v>0</v>
      </c>
    </row>
    <row r="16" spans="1:5" hidden="1" x14ac:dyDescent="0.3">
      <c r="A16">
        <v>14</v>
      </c>
      <c r="B16">
        <v>2021</v>
      </c>
      <c r="C16">
        <v>2175</v>
      </c>
      <c r="D16">
        <v>38555</v>
      </c>
      <c r="E16">
        <v>28414</v>
      </c>
    </row>
    <row r="17" spans="1:5" x14ac:dyDescent="0.3">
      <c r="A17">
        <v>15</v>
      </c>
      <c r="B17">
        <v>2023</v>
      </c>
      <c r="C17">
        <v>387000</v>
      </c>
      <c r="D17">
        <v>163000</v>
      </c>
      <c r="E17">
        <v>483188000</v>
      </c>
    </row>
    <row r="18" spans="1:5" x14ac:dyDescent="0.3">
      <c r="A18">
        <v>16</v>
      </c>
      <c r="B18">
        <v>2023</v>
      </c>
      <c r="C18">
        <v>1090000</v>
      </c>
      <c r="D18">
        <v>2730000</v>
      </c>
      <c r="E18">
        <v>284410000</v>
      </c>
    </row>
    <row r="19" spans="1:5" hidden="1" x14ac:dyDescent="0.3">
      <c r="A19">
        <v>17</v>
      </c>
      <c r="B19">
        <v>2021</v>
      </c>
      <c r="C19">
        <v>282199</v>
      </c>
      <c r="D19">
        <v>48800</v>
      </c>
      <c r="E19">
        <v>7437488</v>
      </c>
    </row>
    <row r="20" spans="1:5" hidden="1" x14ac:dyDescent="0.3">
      <c r="A20">
        <v>18</v>
      </c>
      <c r="B20">
        <v>2022</v>
      </c>
      <c r="C20">
        <v>53202.91</v>
      </c>
      <c r="D20">
        <v>0</v>
      </c>
      <c r="E20">
        <v>0</v>
      </c>
    </row>
    <row r="21" spans="1:5" hidden="1" x14ac:dyDescent="0.3">
      <c r="A21">
        <v>19</v>
      </c>
      <c r="B21">
        <v>2021</v>
      </c>
      <c r="C21">
        <v>44016</v>
      </c>
      <c r="D21">
        <v>50899</v>
      </c>
      <c r="E21">
        <v>1471</v>
      </c>
    </row>
    <row r="22" spans="1:5" hidden="1" x14ac:dyDescent="0.3">
      <c r="A22">
        <v>20</v>
      </c>
      <c r="B22">
        <v>2022</v>
      </c>
      <c r="C22">
        <v>19700</v>
      </c>
      <c r="D22">
        <v>5400</v>
      </c>
      <c r="E22">
        <v>11245000</v>
      </c>
    </row>
    <row r="23" spans="1:5" hidden="1" x14ac:dyDescent="0.3">
      <c r="A23">
        <v>21</v>
      </c>
      <c r="B23">
        <v>2022</v>
      </c>
      <c r="C23">
        <v>694057</v>
      </c>
      <c r="D23">
        <v>91300</v>
      </c>
      <c r="E23">
        <v>116586786</v>
      </c>
    </row>
    <row r="24" spans="1:5" hidden="1" x14ac:dyDescent="0.3">
      <c r="A24">
        <v>22</v>
      </c>
      <c r="B24">
        <v>2020</v>
      </c>
      <c r="C24">
        <v>0</v>
      </c>
      <c r="D24">
        <v>0</v>
      </c>
      <c r="E24">
        <v>0</v>
      </c>
    </row>
    <row r="25" spans="1:5" hidden="1" x14ac:dyDescent="0.3">
      <c r="A25">
        <v>23</v>
      </c>
      <c r="B25">
        <v>2020</v>
      </c>
      <c r="C25">
        <v>6748</v>
      </c>
      <c r="D25">
        <v>20008</v>
      </c>
      <c r="E25">
        <v>0</v>
      </c>
    </row>
    <row r="26" spans="1:5" hidden="1" x14ac:dyDescent="0.3">
      <c r="A26">
        <v>24</v>
      </c>
      <c r="B26">
        <v>2022</v>
      </c>
      <c r="C26">
        <v>9100</v>
      </c>
      <c r="D26">
        <v>5800</v>
      </c>
      <c r="E26">
        <v>0</v>
      </c>
    </row>
    <row r="27" spans="1:5" hidden="1" x14ac:dyDescent="0.3">
      <c r="A27">
        <v>25</v>
      </c>
      <c r="B27">
        <v>2022</v>
      </c>
      <c r="C27">
        <v>136736</v>
      </c>
      <c r="D27">
        <v>382819</v>
      </c>
      <c r="E27">
        <v>32260185</v>
      </c>
    </row>
    <row r="28" spans="1:5" x14ac:dyDescent="0.3">
      <c r="A28">
        <v>26</v>
      </c>
      <c r="B28">
        <v>2023</v>
      </c>
      <c r="C28">
        <v>57175391</v>
      </c>
      <c r="D28">
        <v>8182542</v>
      </c>
      <c r="E28">
        <v>38190000</v>
      </c>
    </row>
    <row r="29" spans="1:5" hidden="1" x14ac:dyDescent="0.3">
      <c r="A29">
        <v>27</v>
      </c>
      <c r="B29">
        <v>2022</v>
      </c>
      <c r="C29">
        <v>26864</v>
      </c>
      <c r="D29">
        <v>86780</v>
      </c>
      <c r="E29">
        <v>0</v>
      </c>
    </row>
    <row r="30" spans="1:5" hidden="1" x14ac:dyDescent="0.3">
      <c r="A30">
        <v>28</v>
      </c>
      <c r="B30">
        <v>2021</v>
      </c>
      <c r="C30">
        <v>211000</v>
      </c>
      <c r="D30">
        <v>984000</v>
      </c>
      <c r="E30">
        <v>16160000</v>
      </c>
    </row>
    <row r="31" spans="1:5" hidden="1" x14ac:dyDescent="0.3">
      <c r="A31">
        <v>29</v>
      </c>
      <c r="B31">
        <v>2020</v>
      </c>
      <c r="C31">
        <v>4505000</v>
      </c>
      <c r="D31">
        <v>671000</v>
      </c>
      <c r="E31">
        <v>0</v>
      </c>
    </row>
    <row r="32" spans="1:5" hidden="1" x14ac:dyDescent="0.3">
      <c r="A32">
        <v>30</v>
      </c>
      <c r="B32">
        <v>2022</v>
      </c>
      <c r="C32">
        <v>11927119</v>
      </c>
      <c r="D32">
        <v>1879381</v>
      </c>
      <c r="E32">
        <v>42013976</v>
      </c>
    </row>
    <row r="33" spans="1:5" hidden="1" x14ac:dyDescent="0.3">
      <c r="A33">
        <v>31</v>
      </c>
      <c r="B33">
        <v>2022</v>
      </c>
      <c r="C33">
        <v>3220</v>
      </c>
      <c r="D33">
        <v>9523</v>
      </c>
      <c r="E33">
        <v>80964</v>
      </c>
    </row>
    <row r="34" spans="1:5" hidden="1" x14ac:dyDescent="0.3">
      <c r="A34">
        <v>32</v>
      </c>
      <c r="B34">
        <v>2022</v>
      </c>
      <c r="C34">
        <v>492000</v>
      </c>
      <c r="D34">
        <v>194000</v>
      </c>
      <c r="E34">
        <v>8328000</v>
      </c>
    </row>
    <row r="35" spans="1:5" hidden="1" x14ac:dyDescent="0.3">
      <c r="A35">
        <v>33</v>
      </c>
      <c r="B35">
        <v>2021</v>
      </c>
      <c r="C35">
        <v>15300000</v>
      </c>
      <c r="D35">
        <v>3100000</v>
      </c>
      <c r="E35">
        <v>0</v>
      </c>
    </row>
    <row r="36" spans="1:5" hidden="1" x14ac:dyDescent="0.3">
      <c r="A36">
        <v>34</v>
      </c>
      <c r="B36">
        <v>2022</v>
      </c>
      <c r="C36">
        <v>12417</v>
      </c>
      <c r="D36">
        <v>27228</v>
      </c>
      <c r="E36">
        <v>0</v>
      </c>
    </row>
    <row r="37" spans="1:5" hidden="1" x14ac:dyDescent="0.3">
      <c r="A37">
        <v>35</v>
      </c>
      <c r="B37">
        <v>2022</v>
      </c>
      <c r="C37">
        <v>246126</v>
      </c>
      <c r="D37">
        <v>254335</v>
      </c>
      <c r="E37">
        <v>2882063</v>
      </c>
    </row>
    <row r="38" spans="1:5" hidden="1" x14ac:dyDescent="0.3">
      <c r="A38">
        <v>36</v>
      </c>
      <c r="B38">
        <v>2020</v>
      </c>
      <c r="C38">
        <v>62860000</v>
      </c>
      <c r="D38">
        <v>10846000</v>
      </c>
      <c r="E38">
        <v>0</v>
      </c>
    </row>
    <row r="39" spans="1:5" hidden="1" x14ac:dyDescent="0.3">
      <c r="A39">
        <v>37</v>
      </c>
      <c r="B39">
        <v>2022</v>
      </c>
      <c r="C39">
        <v>386375</v>
      </c>
      <c r="D39">
        <v>150429</v>
      </c>
      <c r="E39">
        <v>4470633</v>
      </c>
    </row>
    <row r="40" spans="1:5" hidden="1" x14ac:dyDescent="0.3">
      <c r="A40">
        <v>38</v>
      </c>
      <c r="B40">
        <v>2021</v>
      </c>
      <c r="C40">
        <v>771816</v>
      </c>
      <c r="D40">
        <v>406258</v>
      </c>
      <c r="E40">
        <v>0</v>
      </c>
    </row>
    <row r="41" spans="1:5" hidden="1" x14ac:dyDescent="0.3">
      <c r="A41">
        <v>39</v>
      </c>
      <c r="B41">
        <v>2021</v>
      </c>
      <c r="C41">
        <v>533000</v>
      </c>
      <c r="D41">
        <v>397000</v>
      </c>
      <c r="E41">
        <v>0</v>
      </c>
    </row>
    <row r="42" spans="1:5" hidden="1" x14ac:dyDescent="0.3">
      <c r="A42">
        <v>40</v>
      </c>
      <c r="B42">
        <v>2022</v>
      </c>
      <c r="C42">
        <v>0</v>
      </c>
      <c r="D42">
        <v>0</v>
      </c>
      <c r="E42">
        <v>0</v>
      </c>
    </row>
    <row r="43" spans="1:5" hidden="1" x14ac:dyDescent="0.3">
      <c r="A43">
        <v>41</v>
      </c>
      <c r="B43">
        <v>2022</v>
      </c>
      <c r="C43">
        <v>23280</v>
      </c>
      <c r="D43">
        <v>39370</v>
      </c>
      <c r="E43">
        <v>167549</v>
      </c>
    </row>
    <row r="44" spans="1:5" x14ac:dyDescent="0.3">
      <c r="A44">
        <v>42</v>
      </c>
      <c r="B44">
        <v>2023</v>
      </c>
      <c r="C44">
        <v>16</v>
      </c>
      <c r="D44">
        <v>67</v>
      </c>
      <c r="E44">
        <v>6356</v>
      </c>
    </row>
    <row r="45" spans="1:5" hidden="1" x14ac:dyDescent="0.3">
      <c r="A45">
        <v>43</v>
      </c>
      <c r="B45">
        <v>2022</v>
      </c>
      <c r="C45">
        <v>212000</v>
      </c>
      <c r="D45">
        <v>21000</v>
      </c>
      <c r="E45">
        <v>12300000</v>
      </c>
    </row>
    <row r="46" spans="1:5" hidden="1" x14ac:dyDescent="0.3">
      <c r="A46">
        <v>44</v>
      </c>
      <c r="B46">
        <v>2022</v>
      </c>
      <c r="C46">
        <v>8300000</v>
      </c>
      <c r="D46">
        <v>70000</v>
      </c>
      <c r="E46">
        <v>28090000</v>
      </c>
    </row>
    <row r="47" spans="1:5" hidden="1" x14ac:dyDescent="0.3">
      <c r="A47">
        <v>45</v>
      </c>
      <c r="B47">
        <v>2021</v>
      </c>
      <c r="C47">
        <v>10000</v>
      </c>
      <c r="D47">
        <v>8000</v>
      </c>
      <c r="E47">
        <v>7000</v>
      </c>
    </row>
    <row r="48" spans="1:5" x14ac:dyDescent="0.3">
      <c r="A48">
        <v>46</v>
      </c>
      <c r="B48">
        <v>2023</v>
      </c>
      <c r="C48">
        <v>27967</v>
      </c>
      <c r="D48">
        <v>18374</v>
      </c>
      <c r="E48">
        <v>659891</v>
      </c>
    </row>
    <row r="49" spans="1:5" hidden="1" x14ac:dyDescent="0.3">
      <c r="A49">
        <v>47</v>
      </c>
      <c r="B49">
        <v>2022</v>
      </c>
      <c r="C49">
        <v>18000</v>
      </c>
      <c r="D49">
        <v>13300</v>
      </c>
      <c r="E49">
        <v>609600</v>
      </c>
    </row>
    <row r="50" spans="1:5" hidden="1" x14ac:dyDescent="0.3">
      <c r="A50">
        <v>48</v>
      </c>
      <c r="B50">
        <v>2022</v>
      </c>
      <c r="C50">
        <v>41826</v>
      </c>
      <c r="D50">
        <v>10132</v>
      </c>
      <c r="E50">
        <v>83875951</v>
      </c>
    </row>
    <row r="51" spans="1:5" hidden="1" x14ac:dyDescent="0.3">
      <c r="A51">
        <v>49</v>
      </c>
      <c r="B51">
        <v>2021</v>
      </c>
      <c r="C51">
        <v>573000</v>
      </c>
      <c r="D51">
        <v>979000</v>
      </c>
      <c r="E51">
        <v>0</v>
      </c>
    </row>
    <row r="52" spans="1:5" hidden="1" x14ac:dyDescent="0.3">
      <c r="A52">
        <v>50</v>
      </c>
      <c r="B52">
        <v>2021</v>
      </c>
      <c r="C52">
        <v>167</v>
      </c>
      <c r="D52">
        <v>13899</v>
      </c>
      <c r="E52">
        <v>114131</v>
      </c>
    </row>
    <row r="53" spans="1:5" hidden="1" x14ac:dyDescent="0.3">
      <c r="A53">
        <v>51</v>
      </c>
      <c r="B53">
        <v>2022</v>
      </c>
      <c r="C53">
        <v>177299</v>
      </c>
      <c r="D53">
        <v>226431</v>
      </c>
      <c r="E53">
        <v>0</v>
      </c>
    </row>
    <row r="54" spans="1:5" hidden="1" x14ac:dyDescent="0.3">
      <c r="A54">
        <v>52</v>
      </c>
      <c r="B54">
        <v>2022</v>
      </c>
      <c r="C54">
        <v>16273000</v>
      </c>
      <c r="D54">
        <v>23033000</v>
      </c>
      <c r="E54">
        <v>22134000</v>
      </c>
    </row>
    <row r="55" spans="1:5" hidden="1" x14ac:dyDescent="0.3">
      <c r="A55">
        <v>53</v>
      </c>
      <c r="B55">
        <v>2022</v>
      </c>
      <c r="C55">
        <v>418751</v>
      </c>
      <c r="D55">
        <v>379032</v>
      </c>
      <c r="E55">
        <v>0</v>
      </c>
    </row>
    <row r="56" spans="1:5" hidden="1" x14ac:dyDescent="0.3">
      <c r="A56">
        <v>54</v>
      </c>
      <c r="B56">
        <v>2022</v>
      </c>
      <c r="C56">
        <v>21967</v>
      </c>
      <c r="D56">
        <v>30917</v>
      </c>
      <c r="E56">
        <v>81535</v>
      </c>
    </row>
    <row r="57" spans="1:5" hidden="1" x14ac:dyDescent="0.3">
      <c r="A57">
        <v>55</v>
      </c>
      <c r="B57">
        <v>2021</v>
      </c>
      <c r="C57">
        <v>5082</v>
      </c>
      <c r="D57">
        <v>47569</v>
      </c>
      <c r="E57">
        <v>0</v>
      </c>
    </row>
    <row r="58" spans="1:5" hidden="1" x14ac:dyDescent="0.3">
      <c r="A58">
        <v>56</v>
      </c>
      <c r="B58">
        <v>2022</v>
      </c>
      <c r="C58">
        <v>11232</v>
      </c>
      <c r="D58">
        <v>0</v>
      </c>
      <c r="E58">
        <v>17233485</v>
      </c>
    </row>
    <row r="59" spans="1:5" hidden="1" x14ac:dyDescent="0.3">
      <c r="A59">
        <v>57</v>
      </c>
      <c r="B59">
        <v>2022</v>
      </c>
      <c r="C59">
        <v>581</v>
      </c>
      <c r="D59">
        <v>1220</v>
      </c>
      <c r="E59">
        <v>0</v>
      </c>
    </row>
    <row r="60" spans="1:5" hidden="1" x14ac:dyDescent="0.3">
      <c r="A60">
        <v>58</v>
      </c>
      <c r="B60">
        <v>2022</v>
      </c>
      <c r="C60">
        <v>14018</v>
      </c>
      <c r="D60">
        <v>83912</v>
      </c>
      <c r="E60">
        <v>1837925</v>
      </c>
    </row>
    <row r="61" spans="1:5" hidden="1" x14ac:dyDescent="0.3">
      <c r="A61">
        <v>59</v>
      </c>
      <c r="B61">
        <v>2022</v>
      </c>
      <c r="C61">
        <v>1823000</v>
      </c>
      <c r="D61">
        <v>1014000</v>
      </c>
      <c r="E61">
        <v>62974000</v>
      </c>
    </row>
    <row r="62" spans="1:5" hidden="1" x14ac:dyDescent="0.3">
      <c r="A62">
        <v>60</v>
      </c>
      <c r="B62">
        <v>2020</v>
      </c>
      <c r="C62">
        <v>5849</v>
      </c>
      <c r="D62">
        <v>46</v>
      </c>
      <c r="E62">
        <v>192375</v>
      </c>
    </row>
    <row r="63" spans="1:5" hidden="1" x14ac:dyDescent="0.3">
      <c r="A63">
        <v>61</v>
      </c>
      <c r="B63">
        <v>2022</v>
      </c>
      <c r="C63">
        <v>108453</v>
      </c>
      <c r="D63">
        <v>636855</v>
      </c>
      <c r="E63">
        <v>299478</v>
      </c>
    </row>
    <row r="64" spans="1:5" hidden="1" x14ac:dyDescent="0.3">
      <c r="A64">
        <v>62</v>
      </c>
      <c r="B64">
        <v>2022</v>
      </c>
      <c r="C64">
        <v>7435</v>
      </c>
      <c r="D64">
        <v>25511</v>
      </c>
      <c r="E64">
        <v>0</v>
      </c>
    </row>
    <row r="65" spans="1:5" hidden="1" x14ac:dyDescent="0.3">
      <c r="A65">
        <v>63</v>
      </c>
      <c r="B65">
        <v>2022</v>
      </c>
      <c r="C65">
        <v>41395</v>
      </c>
      <c r="D65">
        <v>11571</v>
      </c>
      <c r="E65">
        <v>37026</v>
      </c>
    </row>
    <row r="66" spans="1:5" hidden="1" x14ac:dyDescent="0.3">
      <c r="A66">
        <v>64</v>
      </c>
      <c r="B66">
        <v>2021</v>
      </c>
      <c r="C66">
        <v>123766</v>
      </c>
      <c r="D66">
        <v>2847126</v>
      </c>
      <c r="E66">
        <v>18266748</v>
      </c>
    </row>
    <row r="67" spans="1:5" hidden="1" x14ac:dyDescent="0.3">
      <c r="A67">
        <v>65</v>
      </c>
      <c r="B67">
        <v>2022</v>
      </c>
      <c r="C67">
        <v>1196</v>
      </c>
      <c r="D67">
        <v>7512</v>
      </c>
      <c r="E67">
        <v>281002</v>
      </c>
    </row>
    <row r="68" spans="1:5" x14ac:dyDescent="0.3">
      <c r="A68">
        <v>66</v>
      </c>
      <c r="B68">
        <v>2023</v>
      </c>
      <c r="C68">
        <v>1520000</v>
      </c>
      <c r="D68">
        <v>1270000</v>
      </c>
      <c r="E68">
        <v>3730000</v>
      </c>
    </row>
    <row r="69" spans="1:5" hidden="1" x14ac:dyDescent="0.3">
      <c r="A69">
        <v>67</v>
      </c>
      <c r="B69">
        <v>2022</v>
      </c>
      <c r="C69">
        <v>14718</v>
      </c>
      <c r="D69">
        <v>0</v>
      </c>
      <c r="E69">
        <v>0</v>
      </c>
    </row>
    <row r="70" spans="1:5" hidden="1" x14ac:dyDescent="0.3">
      <c r="A70">
        <v>68</v>
      </c>
      <c r="B70">
        <v>2020</v>
      </c>
      <c r="C70">
        <v>115407</v>
      </c>
      <c r="D70">
        <v>363233</v>
      </c>
      <c r="E70">
        <v>4215127</v>
      </c>
    </row>
    <row r="71" spans="1:5" hidden="1" x14ac:dyDescent="0.3">
      <c r="A71">
        <v>69</v>
      </c>
      <c r="B71">
        <v>2021</v>
      </c>
      <c r="C71">
        <v>51570000</v>
      </c>
      <c r="D71">
        <v>7110000</v>
      </c>
      <c r="E71">
        <v>69150000</v>
      </c>
    </row>
    <row r="72" spans="1:5" hidden="1" x14ac:dyDescent="0.3">
      <c r="A72">
        <v>70</v>
      </c>
      <c r="B72">
        <v>2022</v>
      </c>
      <c r="C72">
        <v>862</v>
      </c>
      <c r="D72">
        <v>2</v>
      </c>
      <c r="E72">
        <v>47221</v>
      </c>
    </row>
    <row r="73" spans="1:5" hidden="1" x14ac:dyDescent="0.3">
      <c r="A73">
        <v>71</v>
      </c>
      <c r="B73">
        <v>2022</v>
      </c>
      <c r="C73">
        <v>8400000</v>
      </c>
      <c r="D73">
        <v>1400000</v>
      </c>
      <c r="E73">
        <v>21300000</v>
      </c>
    </row>
    <row r="74" spans="1:5" hidden="1" x14ac:dyDescent="0.3">
      <c r="A74">
        <v>72</v>
      </c>
      <c r="B74">
        <v>2021</v>
      </c>
      <c r="C74">
        <v>47598</v>
      </c>
      <c r="D74">
        <v>19677</v>
      </c>
      <c r="E74">
        <v>6015</v>
      </c>
    </row>
    <row r="75" spans="1:5" hidden="1" x14ac:dyDescent="0.3">
      <c r="A75">
        <v>73</v>
      </c>
      <c r="B75">
        <v>2022</v>
      </c>
      <c r="C75">
        <v>317143</v>
      </c>
      <c r="D75">
        <v>508459</v>
      </c>
      <c r="E75">
        <v>28431587</v>
      </c>
    </row>
    <row r="76" spans="1:5" hidden="1" x14ac:dyDescent="0.3">
      <c r="A76">
        <v>74</v>
      </c>
      <c r="B76">
        <v>2022</v>
      </c>
      <c r="C76">
        <v>2132</v>
      </c>
      <c r="D76">
        <v>14973</v>
      </c>
      <c r="E76">
        <v>3010457</v>
      </c>
    </row>
    <row r="77" spans="1:5" hidden="1" x14ac:dyDescent="0.3">
      <c r="A77">
        <v>75</v>
      </c>
      <c r="B77">
        <v>2022</v>
      </c>
      <c r="C77">
        <v>793343</v>
      </c>
      <c r="D77">
        <v>174584</v>
      </c>
      <c r="E77">
        <v>0</v>
      </c>
    </row>
    <row r="78" spans="1:5" hidden="1" x14ac:dyDescent="0.3">
      <c r="A78">
        <v>76</v>
      </c>
      <c r="B78">
        <v>2022</v>
      </c>
      <c r="C78">
        <v>477261.54</v>
      </c>
      <c r="D78">
        <v>0</v>
      </c>
      <c r="E78">
        <v>0</v>
      </c>
    </row>
    <row r="79" spans="1:5" hidden="1" x14ac:dyDescent="0.3">
      <c r="A79">
        <v>77</v>
      </c>
      <c r="B79">
        <v>2022</v>
      </c>
      <c r="C79">
        <v>193000</v>
      </c>
      <c r="D79">
        <v>4909000</v>
      </c>
      <c r="E79">
        <v>106400000</v>
      </c>
    </row>
    <row r="80" spans="1:5" hidden="1" x14ac:dyDescent="0.3">
      <c r="A80">
        <v>78</v>
      </c>
      <c r="B80">
        <v>2021</v>
      </c>
      <c r="C80">
        <v>697851</v>
      </c>
      <c r="D80">
        <v>1541276</v>
      </c>
      <c r="E80">
        <v>127735901</v>
      </c>
    </row>
    <row r="81" spans="1:5" hidden="1" x14ac:dyDescent="0.3">
      <c r="A81">
        <v>79</v>
      </c>
      <c r="B81">
        <v>2022</v>
      </c>
      <c r="C81">
        <v>81376</v>
      </c>
      <c r="D81">
        <v>2363</v>
      </c>
      <c r="E81">
        <v>0</v>
      </c>
    </row>
    <row r="82" spans="1:5" x14ac:dyDescent="0.3">
      <c r="A82">
        <v>80</v>
      </c>
      <c r="B82">
        <v>2023</v>
      </c>
      <c r="C82">
        <v>95448</v>
      </c>
      <c r="D82">
        <v>49868</v>
      </c>
      <c r="E82">
        <v>0</v>
      </c>
    </row>
    <row r="83" spans="1:5" hidden="1" x14ac:dyDescent="0.3">
      <c r="A83">
        <v>81</v>
      </c>
      <c r="B83">
        <v>2021</v>
      </c>
      <c r="C83">
        <v>633000</v>
      </c>
      <c r="D83">
        <v>420000</v>
      </c>
      <c r="E83">
        <v>3473000</v>
      </c>
    </row>
    <row r="84" spans="1:5" hidden="1" x14ac:dyDescent="0.3">
      <c r="A84">
        <v>82</v>
      </c>
      <c r="B84">
        <v>2022</v>
      </c>
      <c r="C84">
        <v>124000</v>
      </c>
      <c r="D84">
        <v>135300</v>
      </c>
      <c r="E84">
        <v>39454200</v>
      </c>
    </row>
    <row r="85" spans="1:5" hidden="1" x14ac:dyDescent="0.3">
      <c r="A85">
        <v>83</v>
      </c>
      <c r="B85">
        <v>2022</v>
      </c>
      <c r="C85">
        <v>119617</v>
      </c>
      <c r="D85">
        <v>109730</v>
      </c>
      <c r="E85">
        <v>60952497</v>
      </c>
    </row>
    <row r="86" spans="1:5" hidden="1" x14ac:dyDescent="0.3">
      <c r="A86">
        <v>84</v>
      </c>
      <c r="B86">
        <v>2021</v>
      </c>
      <c r="C86">
        <v>28699</v>
      </c>
      <c r="D86">
        <v>54689</v>
      </c>
      <c r="E86">
        <v>55359</v>
      </c>
    </row>
    <row r="87" spans="1:5" hidden="1" x14ac:dyDescent="0.3">
      <c r="A87">
        <v>85</v>
      </c>
      <c r="B87">
        <v>2022</v>
      </c>
      <c r="C87">
        <v>1711000</v>
      </c>
      <c r="D87">
        <v>1370000</v>
      </c>
      <c r="E87">
        <v>109688000</v>
      </c>
    </row>
    <row r="88" spans="1:5" hidden="1" x14ac:dyDescent="0.3">
      <c r="A88">
        <v>86</v>
      </c>
      <c r="B88">
        <v>2022</v>
      </c>
      <c r="C88">
        <v>824</v>
      </c>
      <c r="D88">
        <v>9041</v>
      </c>
      <c r="E88">
        <v>27916</v>
      </c>
    </row>
    <row r="89" spans="1:5" hidden="1" x14ac:dyDescent="0.3">
      <c r="A89">
        <v>87</v>
      </c>
      <c r="B89">
        <v>2021</v>
      </c>
      <c r="C89">
        <v>9350000</v>
      </c>
      <c r="D89">
        <v>35988000</v>
      </c>
      <c r="E89">
        <v>350419000</v>
      </c>
    </row>
    <row r="90" spans="1:5" hidden="1" x14ac:dyDescent="0.3">
      <c r="A90">
        <v>88</v>
      </c>
      <c r="B90">
        <v>2022</v>
      </c>
      <c r="C90">
        <v>43085</v>
      </c>
      <c r="D90">
        <v>13470</v>
      </c>
      <c r="E90">
        <v>0</v>
      </c>
    </row>
    <row r="91" spans="1:5" x14ac:dyDescent="0.3">
      <c r="A91">
        <v>89</v>
      </c>
      <c r="B91">
        <v>2023</v>
      </c>
      <c r="C91">
        <v>232381</v>
      </c>
      <c r="D91">
        <v>30842</v>
      </c>
      <c r="E91">
        <v>4526209</v>
      </c>
    </row>
    <row r="92" spans="1:5" hidden="1" x14ac:dyDescent="0.3">
      <c r="A92">
        <v>90</v>
      </c>
      <c r="B92">
        <v>2022</v>
      </c>
      <c r="C92">
        <v>13998</v>
      </c>
      <c r="D92">
        <v>565921</v>
      </c>
      <c r="E92">
        <v>9368649</v>
      </c>
    </row>
    <row r="93" spans="1:5" hidden="1" x14ac:dyDescent="0.3">
      <c r="A93">
        <v>91</v>
      </c>
      <c r="B93">
        <v>2022</v>
      </c>
      <c r="C93">
        <v>4460000</v>
      </c>
      <c r="D93">
        <v>2110000</v>
      </c>
      <c r="E93">
        <v>395620000</v>
      </c>
    </row>
    <row r="94" spans="1:5" hidden="1" x14ac:dyDescent="0.3">
      <c r="A94">
        <v>92</v>
      </c>
      <c r="B94">
        <v>2020</v>
      </c>
      <c r="C94">
        <v>11650054.83</v>
      </c>
      <c r="D94">
        <v>49444.52</v>
      </c>
      <c r="E94">
        <v>1623678.31</v>
      </c>
    </row>
    <row r="95" spans="1:5" hidden="1" x14ac:dyDescent="0.3">
      <c r="A95">
        <v>93</v>
      </c>
      <c r="B95">
        <v>2020</v>
      </c>
      <c r="C95">
        <v>23608</v>
      </c>
      <c r="D95">
        <v>141354</v>
      </c>
      <c r="E95">
        <v>76985</v>
      </c>
    </row>
    <row r="96" spans="1:5" hidden="1" x14ac:dyDescent="0.3">
      <c r="A96">
        <v>94</v>
      </c>
      <c r="B96">
        <v>2021</v>
      </c>
      <c r="C96">
        <v>24408</v>
      </c>
      <c r="D96">
        <v>0</v>
      </c>
      <c r="E96">
        <v>0</v>
      </c>
    </row>
    <row r="97" spans="1:5" hidden="1" x14ac:dyDescent="0.3">
      <c r="A97">
        <v>95</v>
      </c>
      <c r="B97">
        <v>2021</v>
      </c>
      <c r="C97">
        <v>0</v>
      </c>
      <c r="D97">
        <v>0</v>
      </c>
      <c r="E97">
        <v>0</v>
      </c>
    </row>
    <row r="98" spans="1:5" hidden="1" x14ac:dyDescent="0.3">
      <c r="A98">
        <v>96</v>
      </c>
      <c r="B98">
        <v>2021</v>
      </c>
      <c r="C98">
        <v>16749</v>
      </c>
      <c r="D98">
        <v>4900</v>
      </c>
      <c r="E98">
        <v>0</v>
      </c>
    </row>
    <row r="99" spans="1:5" x14ac:dyDescent="0.3">
      <c r="A99">
        <v>97</v>
      </c>
      <c r="B99">
        <v>2023</v>
      </c>
      <c r="C99">
        <v>3650000</v>
      </c>
      <c r="D99">
        <v>844000000</v>
      </c>
      <c r="E99">
        <v>392515000</v>
      </c>
    </row>
    <row r="100" spans="1:5" hidden="1" x14ac:dyDescent="0.3">
      <c r="A100">
        <v>98</v>
      </c>
      <c r="B100">
        <v>2022</v>
      </c>
      <c r="C100">
        <v>41376</v>
      </c>
      <c r="D100">
        <v>40589</v>
      </c>
      <c r="E100">
        <v>141111</v>
      </c>
    </row>
    <row r="101" spans="1:5" hidden="1" x14ac:dyDescent="0.3">
      <c r="A101">
        <v>99</v>
      </c>
      <c r="B101">
        <v>2022</v>
      </c>
      <c r="C101">
        <v>1315</v>
      </c>
      <c r="D101">
        <v>4150</v>
      </c>
      <c r="E101">
        <v>12690</v>
      </c>
    </row>
  </sheetData>
  <autoFilter ref="A1:E101" xr:uid="{ED6799AC-5526-454B-B57C-54CB3A9E9194}">
    <filterColumn colId="1">
      <filters>
        <filter val="202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6B7C-50D9-4DC8-A3BA-81201956ED2D}">
  <dimension ref="A1:H12"/>
  <sheetViews>
    <sheetView workbookViewId="0">
      <selection activeCell="D110" sqref="D110"/>
    </sheetView>
  </sheetViews>
  <sheetFormatPr defaultRowHeight="14.4" x14ac:dyDescent="0.3"/>
  <cols>
    <col min="1" max="1" width="11.44140625" bestFit="1" customWidth="1"/>
    <col min="2" max="4" width="13.109375" bestFit="1" customWidth="1"/>
    <col min="5" max="5" width="13.44140625" bestFit="1" customWidth="1"/>
    <col min="6" max="8" width="12" bestFit="1" customWidth="1"/>
  </cols>
  <sheetData>
    <row r="1" spans="1:8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>
        <v>4</v>
      </c>
      <c r="B2">
        <v>406000</v>
      </c>
      <c r="C2">
        <v>1433000</v>
      </c>
      <c r="D2">
        <v>127371000</v>
      </c>
      <c r="E2">
        <f>B2+C2+D2</f>
        <v>129210000</v>
      </c>
      <c r="F2">
        <f>B2/E2</f>
        <v>3.1421716585403607E-3</v>
      </c>
      <c r="G2">
        <f>C2/E2</f>
        <v>1.1090472873616593E-2</v>
      </c>
      <c r="H2">
        <f>D2/E2</f>
        <v>0.985767355467843</v>
      </c>
    </row>
    <row r="3" spans="1:8" x14ac:dyDescent="0.3">
      <c r="A3">
        <v>13</v>
      </c>
      <c r="B3">
        <v>1216</v>
      </c>
      <c r="C3">
        <v>19079</v>
      </c>
      <c r="D3">
        <v>0</v>
      </c>
      <c r="E3">
        <f t="shared" ref="E3:E12" si="0">B3+C3+D3</f>
        <v>20295</v>
      </c>
      <c r="F3">
        <f t="shared" ref="F3:F12" si="1">B3/E3</f>
        <v>5.9916235525991624E-2</v>
      </c>
      <c r="G3">
        <f t="shared" ref="G3:G12" si="2">C3/E3</f>
        <v>0.94008376447400832</v>
      </c>
      <c r="H3">
        <f t="shared" ref="H3:H12" si="3">D3/E3</f>
        <v>0</v>
      </c>
    </row>
    <row r="4" spans="1:8" x14ac:dyDescent="0.3">
      <c r="A4">
        <v>15</v>
      </c>
      <c r="B4">
        <v>387000</v>
      </c>
      <c r="C4">
        <v>163000</v>
      </c>
      <c r="D4">
        <v>483188000</v>
      </c>
      <c r="E4">
        <f t="shared" si="0"/>
        <v>483738000</v>
      </c>
      <c r="F4">
        <f t="shared" si="1"/>
        <v>8.0001984545353066E-4</v>
      </c>
      <c r="G4">
        <f t="shared" si="2"/>
        <v>3.369592630721589E-4</v>
      </c>
      <c r="H4">
        <f t="shared" si="3"/>
        <v>0.99886302089147427</v>
      </c>
    </row>
    <row r="5" spans="1:8" x14ac:dyDescent="0.3">
      <c r="A5">
        <v>16</v>
      </c>
      <c r="B5">
        <v>1090000</v>
      </c>
      <c r="C5">
        <v>2730000</v>
      </c>
      <c r="D5">
        <v>284410000</v>
      </c>
      <c r="E5">
        <f t="shared" si="0"/>
        <v>288230000</v>
      </c>
      <c r="F5">
        <f t="shared" si="1"/>
        <v>3.7817021128959513E-3</v>
      </c>
      <c r="G5">
        <f t="shared" si="2"/>
        <v>9.4716025396384823E-3</v>
      </c>
      <c r="H5">
        <f t="shared" si="3"/>
        <v>0.98674669534746562</v>
      </c>
    </row>
    <row r="6" spans="1:8" x14ac:dyDescent="0.3">
      <c r="A6">
        <v>26</v>
      </c>
      <c r="B6">
        <v>57175391</v>
      </c>
      <c r="C6">
        <v>8182542</v>
      </c>
      <c r="D6">
        <v>38190000</v>
      </c>
      <c r="E6">
        <f t="shared" si="0"/>
        <v>103547933</v>
      </c>
      <c r="F6">
        <f t="shared" si="1"/>
        <v>0.55216351831957866</v>
      </c>
      <c r="G6">
        <f t="shared" si="2"/>
        <v>7.9021780183675908E-2</v>
      </c>
      <c r="H6">
        <f t="shared" si="3"/>
        <v>0.3688147014967455</v>
      </c>
    </row>
    <row r="7" spans="1:8" x14ac:dyDescent="0.3">
      <c r="A7">
        <v>42</v>
      </c>
      <c r="B7">
        <v>16</v>
      </c>
      <c r="C7">
        <v>67</v>
      </c>
      <c r="D7">
        <v>6356</v>
      </c>
      <c r="E7">
        <f t="shared" si="0"/>
        <v>6439</v>
      </c>
      <c r="F7">
        <f t="shared" si="1"/>
        <v>2.4848578971890046E-3</v>
      </c>
      <c r="G7">
        <f t="shared" si="2"/>
        <v>1.0405342444478957E-2</v>
      </c>
      <c r="H7">
        <f t="shared" si="3"/>
        <v>0.98710979965833201</v>
      </c>
    </row>
    <row r="8" spans="1:8" x14ac:dyDescent="0.3">
      <c r="A8">
        <v>46</v>
      </c>
      <c r="B8">
        <v>27967</v>
      </c>
      <c r="C8">
        <v>18374</v>
      </c>
      <c r="D8">
        <v>659891</v>
      </c>
      <c r="E8">
        <f t="shared" si="0"/>
        <v>706232</v>
      </c>
      <c r="F8">
        <f t="shared" si="1"/>
        <v>3.9600301317414106E-2</v>
      </c>
      <c r="G8">
        <f t="shared" si="2"/>
        <v>2.6016946272612966E-2</v>
      </c>
      <c r="H8">
        <f t="shared" si="3"/>
        <v>0.93438275240997293</v>
      </c>
    </row>
    <row r="9" spans="1:8" x14ac:dyDescent="0.3">
      <c r="A9">
        <v>66</v>
      </c>
      <c r="B9">
        <v>1520000</v>
      </c>
      <c r="C9">
        <v>1270000</v>
      </c>
      <c r="D9">
        <v>3730000</v>
      </c>
      <c r="E9">
        <f t="shared" si="0"/>
        <v>6520000</v>
      </c>
      <c r="F9">
        <f t="shared" si="1"/>
        <v>0.23312883435582821</v>
      </c>
      <c r="G9">
        <f t="shared" si="2"/>
        <v>0.19478527607361965</v>
      </c>
      <c r="H9">
        <f t="shared" si="3"/>
        <v>0.57208588957055218</v>
      </c>
    </row>
    <row r="10" spans="1:8" x14ac:dyDescent="0.3">
      <c r="A10">
        <v>80</v>
      </c>
      <c r="B10">
        <v>95448</v>
      </c>
      <c r="C10">
        <v>49868</v>
      </c>
      <c r="D10">
        <v>0</v>
      </c>
      <c r="E10">
        <f t="shared" si="0"/>
        <v>145316</v>
      </c>
      <c r="F10">
        <f t="shared" si="1"/>
        <v>0.65683063117619533</v>
      </c>
      <c r="G10">
        <f t="shared" si="2"/>
        <v>0.34316936882380467</v>
      </c>
      <c r="H10">
        <f t="shared" si="3"/>
        <v>0</v>
      </c>
    </row>
    <row r="11" spans="1:8" x14ac:dyDescent="0.3">
      <c r="A11">
        <v>89</v>
      </c>
      <c r="B11">
        <v>232381</v>
      </c>
      <c r="C11">
        <v>30842</v>
      </c>
      <c r="D11">
        <v>4526209</v>
      </c>
      <c r="E11">
        <f t="shared" si="0"/>
        <v>4789432</v>
      </c>
      <c r="F11">
        <f t="shared" si="1"/>
        <v>4.8519532169994273E-2</v>
      </c>
      <c r="G11">
        <f t="shared" si="2"/>
        <v>6.4395945072401066E-3</v>
      </c>
      <c r="H11">
        <f t="shared" si="3"/>
        <v>0.94504087332276565</v>
      </c>
    </row>
    <row r="12" spans="1:8" x14ac:dyDescent="0.3">
      <c r="A12">
        <v>97</v>
      </c>
      <c r="B12">
        <v>3650000</v>
      </c>
      <c r="C12">
        <v>844000000</v>
      </c>
      <c r="D12">
        <v>392515000</v>
      </c>
      <c r="E12">
        <f t="shared" si="0"/>
        <v>1240165000</v>
      </c>
      <c r="F12">
        <f t="shared" si="1"/>
        <v>2.9431567573669631E-3</v>
      </c>
      <c r="G12">
        <f t="shared" si="2"/>
        <v>0.68055460362129228</v>
      </c>
      <c r="H12">
        <f t="shared" si="3"/>
        <v>0.31650223962134072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CBA5-E5C7-4AA0-A03C-6F8EB77C880C}">
  <dimension ref="A1:D5"/>
  <sheetViews>
    <sheetView zoomScale="99" workbookViewId="0">
      <selection activeCell="D6" sqref="D6"/>
    </sheetView>
  </sheetViews>
  <sheetFormatPr defaultRowHeight="14.4" x14ac:dyDescent="0.3"/>
  <cols>
    <col min="2" max="2" width="15.33203125" bestFit="1" customWidth="1"/>
    <col min="4" max="4" width="23.109375" bestFit="1" customWidth="1"/>
  </cols>
  <sheetData>
    <row r="1" spans="1:4" x14ac:dyDescent="0.3">
      <c r="A1" t="s">
        <v>9</v>
      </c>
      <c r="B1" t="s">
        <v>10</v>
      </c>
    </row>
    <row r="2" spans="1:4" x14ac:dyDescent="0.3">
      <c r="A2" t="s">
        <v>11</v>
      </c>
      <c r="B2">
        <f>SUM(Calculations!B:B)</f>
        <v>64585419</v>
      </c>
      <c r="D2" t="s">
        <v>15</v>
      </c>
    </row>
    <row r="3" spans="1:4" x14ac:dyDescent="0.3">
      <c r="A3" t="s">
        <v>12</v>
      </c>
      <c r="B3">
        <f>SUM(Calculations!C:C)</f>
        <v>857896772</v>
      </c>
      <c r="D3" s="1">
        <f>SUM(Calculations!E:E)</f>
        <v>2257078647</v>
      </c>
    </row>
    <row r="4" spans="1:4" x14ac:dyDescent="0.3">
      <c r="A4" t="s">
        <v>13</v>
      </c>
      <c r="B4">
        <f>SUM(Calculations!D:D)</f>
        <v>1334596456</v>
      </c>
      <c r="D4" t="s">
        <v>16</v>
      </c>
    </row>
    <row r="5" spans="1:4" x14ac:dyDescent="0.3">
      <c r="A5" t="s">
        <v>14</v>
      </c>
      <c r="B5">
        <f>SUM(Calculations!E:E)</f>
        <v>2257078647</v>
      </c>
      <c r="D5" s="2">
        <f>AVERAGE(Calculations!H:H)</f>
        <v>0.64502848434422644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corp_emissions</vt:lpstr>
      <vt:lpstr>Calculations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 ps</dc:creator>
  <cp:lastModifiedBy>Vyshnav P S</cp:lastModifiedBy>
  <dcterms:created xsi:type="dcterms:W3CDTF">2026-02-19T10:59:26Z</dcterms:created>
  <dcterms:modified xsi:type="dcterms:W3CDTF">2026-02-19T10:59:26Z</dcterms:modified>
</cp:coreProperties>
</file>